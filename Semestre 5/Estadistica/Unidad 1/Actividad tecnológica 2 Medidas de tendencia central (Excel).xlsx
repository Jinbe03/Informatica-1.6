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Informatica\Semestre 5\Estadistica\"/>
    </mc:Choice>
  </mc:AlternateContent>
  <xr:revisionPtr revIDLastSave="0" documentId="13_ncr:1_{F3D880BC-2ED5-4DAF-A0BD-6DC2B85D6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chart.v1.0" hidden="1">Hoja1!$K$36:$K$40</definedName>
    <definedName name="_xlchart.v1.1" hidden="1">Hoja1!$K$36:$K$40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K38" i="1"/>
  <c r="K40" i="1"/>
  <c r="K37" i="1"/>
  <c r="K36" i="1"/>
  <c r="B39" i="1"/>
  <c r="B38" i="1"/>
  <c r="B37" i="1"/>
  <c r="B36" i="1"/>
  <c r="D35" i="1"/>
  <c r="B35" i="1"/>
  <c r="B34" i="1"/>
  <c r="C34" i="1"/>
  <c r="C35" i="1" s="1"/>
  <c r="D34" i="1"/>
  <c r="E34" i="1"/>
  <c r="E35" i="1" s="1"/>
  <c r="F34" i="1"/>
  <c r="F35" i="1" s="1"/>
  <c r="G34" i="1"/>
  <c r="G35" i="1" s="1"/>
  <c r="H34" i="1"/>
  <c r="H35" i="1" s="1"/>
  <c r="I34" i="1"/>
  <c r="I35" i="1" s="1"/>
  <c r="B33" i="1"/>
  <c r="C33" i="1"/>
  <c r="D33" i="1"/>
  <c r="E33" i="1"/>
  <c r="F33" i="1"/>
  <c r="G33" i="1"/>
  <c r="H33" i="1"/>
  <c r="I33" i="1"/>
</calcChain>
</file>

<file path=xl/sharedStrings.xml><?xml version="1.0" encoding="utf-8"?>
<sst xmlns="http://schemas.openxmlformats.org/spreadsheetml/2006/main" count="97" uniqueCount="18">
  <si>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</si>
  <si>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</si>
  <si>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</si>
  <si>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</si>
  <si>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</si>
  <si>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</si>
  <si>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</si>
  <si>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</si>
  <si>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</si>
  <si>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 xml:space="preserve"> </t>
  </si>
  <si>
    <t>Variacionx mes</t>
  </si>
  <si>
    <t>Promedio x mes</t>
  </si>
  <si>
    <t>Desviacion</t>
  </si>
  <si>
    <t>Cuartil 1</t>
  </si>
  <si>
    <t>Cuartil 2</t>
  </si>
  <si>
    <t>Cuartil 3</t>
  </si>
  <si>
    <t>Maximo</t>
  </si>
  <si>
    <t>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</si>
</sst>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8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F15E5736-868D-4BEB-BE34-9A334B90BC2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308161</xdr:colOff>
      <xdr:row>21</xdr:row>
      <xdr:rowOff>79560</xdr:rowOff>
    </xdr:from>
    <xdr:to>
      <xdr:col>17</xdr:col>
      <xdr:colOff>308161</xdr:colOff>
      <xdr:row>35</xdr:row>
      <xdr:rowOff>32496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338DFBD-0D15-BF32-5371-9EB58361A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1161" y="431538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21" zoomScale="85" zoomScaleNormal="85" workbookViewId="0">
      <selection activeCell="M31" sqref="M31"/>
    </sheetView>
  </sheetViews>
  <sheetFormatPr baseColWidth="10" defaultRowHeight="15" x14ac:dyDescent="0.25"/>
  <cols>
    <col min="1" max="1" width="17.14062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 x14ac:dyDescent="0.3">
      <c r="A2" s="3">
        <v>1</v>
      </c>
      <c r="B2" s="4" t="s">
        <v>9</v>
      </c>
      <c r="C2" s="4">
        <v>804.28</v>
      </c>
      <c r="D2" s="4">
        <v>829.97</v>
      </c>
      <c r="E2" s="4" t="s">
        <v>9</v>
      </c>
      <c r="F2" s="4" t="s">
        <v>9</v>
      </c>
      <c r="G2" s="4">
        <v>811.61</v>
      </c>
      <c r="H2" s="4" t="s">
        <v>9</v>
      </c>
      <c r="I2" s="4">
        <v>840.69</v>
      </c>
    </row>
    <row r="3" spans="1:9" ht="15.75" thickBot="1" x14ac:dyDescent="0.3">
      <c r="A3" s="3">
        <v>2</v>
      </c>
      <c r="B3" s="4" t="s">
        <v>9</v>
      </c>
      <c r="C3" s="4">
        <v>791.8</v>
      </c>
      <c r="D3" s="4">
        <v>815.24</v>
      </c>
      <c r="E3" s="4" t="s">
        <v>9</v>
      </c>
      <c r="F3" s="4">
        <v>803.3</v>
      </c>
      <c r="G3" s="4">
        <v>804.6</v>
      </c>
      <c r="H3" s="4" t="s">
        <v>9</v>
      </c>
      <c r="I3" s="4">
        <v>843.02</v>
      </c>
    </row>
    <row r="4" spans="1:9" ht="15.75" thickBot="1" x14ac:dyDescent="0.3">
      <c r="A4" s="3">
        <v>3</v>
      </c>
      <c r="B4" s="4">
        <v>855.86</v>
      </c>
      <c r="C4" s="4">
        <v>781.49</v>
      </c>
      <c r="D4" s="4">
        <v>814.56</v>
      </c>
      <c r="E4" s="4">
        <v>790.41</v>
      </c>
      <c r="F4" s="4">
        <v>808.75</v>
      </c>
      <c r="G4" s="4" t="s">
        <v>9</v>
      </c>
      <c r="H4" s="4">
        <v>801.66</v>
      </c>
      <c r="I4" s="4">
        <v>847.77</v>
      </c>
    </row>
    <row r="5" spans="1:9" ht="15.75" thickBot="1" x14ac:dyDescent="0.3">
      <c r="A5" s="3">
        <v>4</v>
      </c>
      <c r="B5" s="4">
        <v>852.14</v>
      </c>
      <c r="C5" s="4" t="s">
        <v>9</v>
      </c>
      <c r="D5" s="4" t="s">
        <v>9</v>
      </c>
      <c r="E5" s="4">
        <v>801.28</v>
      </c>
      <c r="F5" s="4">
        <v>806.03</v>
      </c>
      <c r="G5" s="4" t="s">
        <v>9</v>
      </c>
      <c r="H5" s="4">
        <v>799.29</v>
      </c>
      <c r="I5" s="4">
        <v>853.99</v>
      </c>
    </row>
    <row r="6" spans="1:9" ht="15.75" thickBot="1" x14ac:dyDescent="0.3">
      <c r="A6" s="3">
        <v>5</v>
      </c>
      <c r="B6" s="4">
        <v>855.1</v>
      </c>
      <c r="C6" s="4" t="s">
        <v>9</v>
      </c>
      <c r="D6" s="4" t="s">
        <v>9</v>
      </c>
      <c r="E6" s="4">
        <v>810.64</v>
      </c>
      <c r="F6" s="4">
        <v>800.54</v>
      </c>
      <c r="G6" s="4">
        <v>797.97</v>
      </c>
      <c r="H6" s="4">
        <v>796.47</v>
      </c>
      <c r="I6" s="4" t="s">
        <v>9</v>
      </c>
    </row>
    <row r="7" spans="1:9" ht="15.75" thickBot="1" x14ac:dyDescent="0.3">
      <c r="A7" s="3">
        <v>6</v>
      </c>
      <c r="B7" s="4">
        <v>856.31</v>
      </c>
      <c r="C7" s="4">
        <v>788.88</v>
      </c>
      <c r="D7" s="4">
        <v>808.91</v>
      </c>
      <c r="E7" s="4">
        <v>810.22</v>
      </c>
      <c r="F7" s="4" t="s">
        <v>9</v>
      </c>
      <c r="G7" s="4">
        <v>797.74</v>
      </c>
      <c r="H7" s="4">
        <v>797.87</v>
      </c>
      <c r="I7" s="4" t="s">
        <v>9</v>
      </c>
    </row>
    <row r="8" spans="1:9" ht="15.75" thickBot="1" x14ac:dyDescent="0.3">
      <c r="A8" s="3">
        <v>7</v>
      </c>
      <c r="B8" s="4" t="s">
        <v>9</v>
      </c>
      <c r="C8" s="4">
        <v>804.79</v>
      </c>
      <c r="D8" s="4">
        <v>803</v>
      </c>
      <c r="E8" s="4" t="s">
        <v>9</v>
      </c>
      <c r="F8" s="4" t="s">
        <v>9</v>
      </c>
      <c r="G8" s="4">
        <v>797.79</v>
      </c>
      <c r="H8" s="4">
        <v>804.49</v>
      </c>
      <c r="I8" s="4">
        <v>848.5</v>
      </c>
    </row>
    <row r="9" spans="1:9" ht="15.75" thickBot="1" x14ac:dyDescent="0.3">
      <c r="A9" s="3">
        <v>8</v>
      </c>
      <c r="B9" s="4" t="s">
        <v>9</v>
      </c>
      <c r="C9" s="4">
        <v>799.46</v>
      </c>
      <c r="D9" s="4">
        <v>798.18</v>
      </c>
      <c r="E9" s="4" t="s">
        <v>9</v>
      </c>
      <c r="F9" s="4">
        <v>795.46</v>
      </c>
      <c r="G9" s="4">
        <v>793.47</v>
      </c>
      <c r="H9" s="4" t="s">
        <v>9</v>
      </c>
      <c r="I9" s="4">
        <v>856.1</v>
      </c>
    </row>
    <row r="10" spans="1:9" ht="15.75" thickBot="1" x14ac:dyDescent="0.3">
      <c r="A10" s="3">
        <v>9</v>
      </c>
      <c r="B10" s="4">
        <v>846.38</v>
      </c>
      <c r="C10" s="4">
        <v>793.19</v>
      </c>
      <c r="D10" s="4">
        <v>802.88</v>
      </c>
      <c r="E10" s="4" t="s">
        <v>9</v>
      </c>
      <c r="F10" s="4">
        <v>793.43</v>
      </c>
      <c r="G10" s="4">
        <v>790.75</v>
      </c>
      <c r="H10" s="4" t="s">
        <v>9</v>
      </c>
      <c r="I10" s="4">
        <v>863.22</v>
      </c>
    </row>
    <row r="11" spans="1:9" ht="15.75" thickBot="1" x14ac:dyDescent="0.3">
      <c r="A11" s="3">
        <v>10</v>
      </c>
      <c r="B11" s="4">
        <v>837.19</v>
      </c>
      <c r="C11" s="4">
        <v>796.27</v>
      </c>
      <c r="D11" s="4">
        <v>800.88</v>
      </c>
      <c r="E11" s="4">
        <v>814.64</v>
      </c>
      <c r="F11" s="4">
        <v>792.46</v>
      </c>
      <c r="G11" s="4" t="s">
        <v>9</v>
      </c>
      <c r="H11" s="4">
        <v>806.52</v>
      </c>
      <c r="I11" s="4">
        <v>858.68</v>
      </c>
    </row>
    <row r="12" spans="1:9" ht="15.75" thickBot="1" x14ac:dyDescent="0.3">
      <c r="A12" s="3">
        <v>11</v>
      </c>
      <c r="B12" s="4">
        <v>833.73</v>
      </c>
      <c r="C12" s="4" t="s">
        <v>9</v>
      </c>
      <c r="D12" s="4" t="s">
        <v>9</v>
      </c>
      <c r="E12" s="4">
        <v>821.49</v>
      </c>
      <c r="F12" s="4">
        <v>788.15</v>
      </c>
      <c r="G12" s="4" t="s">
        <v>9</v>
      </c>
      <c r="H12" s="4">
        <v>811.98</v>
      </c>
      <c r="I12" s="4">
        <v>851.7</v>
      </c>
    </row>
    <row r="13" spans="1:9" ht="15.75" thickBot="1" x14ac:dyDescent="0.3">
      <c r="A13" s="3">
        <v>12</v>
      </c>
      <c r="B13" s="4">
        <v>825.67</v>
      </c>
      <c r="C13" s="4" t="s">
        <v>9</v>
      </c>
      <c r="D13" s="4" t="s">
        <v>9</v>
      </c>
      <c r="E13" s="4">
        <v>811.75</v>
      </c>
      <c r="F13" s="4">
        <v>796.38</v>
      </c>
      <c r="G13" s="4">
        <v>787.2</v>
      </c>
      <c r="H13" s="4">
        <v>816.78</v>
      </c>
      <c r="I13" s="4" t="s">
        <v>9</v>
      </c>
    </row>
    <row r="14" spans="1:9" ht="15.75" thickBot="1" x14ac:dyDescent="0.3">
      <c r="A14" s="3">
        <v>13</v>
      </c>
      <c r="B14" s="4">
        <v>822.32</v>
      </c>
      <c r="C14" s="4">
        <v>800.78</v>
      </c>
      <c r="D14" s="4">
        <v>797.19</v>
      </c>
      <c r="E14" s="4">
        <v>802.89</v>
      </c>
      <c r="F14" s="4" t="s">
        <v>9</v>
      </c>
      <c r="G14" s="4">
        <v>806.84</v>
      </c>
      <c r="H14" s="4">
        <v>811.24</v>
      </c>
      <c r="I14" s="4" t="s">
        <v>9</v>
      </c>
    </row>
    <row r="15" spans="1:9" ht="15.75" thickBot="1" x14ac:dyDescent="0.3">
      <c r="A15" s="3">
        <v>14</v>
      </c>
      <c r="B15" s="4" t="s">
        <v>9</v>
      </c>
      <c r="C15" s="4">
        <v>793.79</v>
      </c>
      <c r="D15" s="4">
        <v>803.14</v>
      </c>
      <c r="E15" s="4">
        <v>795.81</v>
      </c>
      <c r="F15" s="4" t="s">
        <v>9</v>
      </c>
      <c r="G15" s="4">
        <v>804.38</v>
      </c>
      <c r="H15" s="4">
        <v>808.61</v>
      </c>
      <c r="I15" s="4">
        <v>853.3</v>
      </c>
    </row>
    <row r="16" spans="1:9" ht="15.75" thickBot="1" x14ac:dyDescent="0.3">
      <c r="A16" s="3">
        <v>15</v>
      </c>
      <c r="B16" s="4" t="s">
        <v>9</v>
      </c>
      <c r="C16" s="4">
        <v>789.49</v>
      </c>
      <c r="D16" s="4">
        <v>800.71</v>
      </c>
      <c r="E16" s="4" t="s">
        <v>9</v>
      </c>
      <c r="F16" s="4">
        <v>787</v>
      </c>
      <c r="G16" s="4">
        <v>800.12</v>
      </c>
      <c r="H16" s="4" t="s">
        <v>9</v>
      </c>
      <c r="I16" s="4" t="s">
        <v>9</v>
      </c>
    </row>
    <row r="17" spans="1:9" ht="15.75" thickBot="1" x14ac:dyDescent="0.3">
      <c r="A17" s="3">
        <v>16</v>
      </c>
      <c r="B17" s="4">
        <v>824.33</v>
      </c>
      <c r="C17" s="4">
        <v>792.62</v>
      </c>
      <c r="D17" s="4">
        <v>817.42</v>
      </c>
      <c r="E17" s="4" t="s">
        <v>9</v>
      </c>
      <c r="F17" s="4">
        <v>783.35</v>
      </c>
      <c r="G17" s="4">
        <v>796.97</v>
      </c>
      <c r="H17" s="4" t="s">
        <v>9</v>
      </c>
      <c r="I17" s="4">
        <v>859.03</v>
      </c>
    </row>
    <row r="18" spans="1:9" ht="15.75" thickBot="1" x14ac:dyDescent="0.3">
      <c r="A18" s="3">
        <v>17</v>
      </c>
      <c r="B18" s="4">
        <v>821.59</v>
      </c>
      <c r="C18" s="4">
        <v>794.35</v>
      </c>
      <c r="D18" s="4">
        <v>824.65</v>
      </c>
      <c r="E18" s="4">
        <v>797.28</v>
      </c>
      <c r="F18" s="4">
        <v>794.44</v>
      </c>
      <c r="G18" s="4" t="s">
        <v>9</v>
      </c>
      <c r="H18" s="4">
        <v>813.44</v>
      </c>
      <c r="I18" s="4">
        <v>859.87</v>
      </c>
    </row>
    <row r="19" spans="1:9" ht="15.75" thickBot="1" x14ac:dyDescent="0.3">
      <c r="A19" s="3">
        <v>18</v>
      </c>
      <c r="B19" s="4">
        <v>820.89</v>
      </c>
      <c r="C19" s="4" t="s">
        <v>9</v>
      </c>
      <c r="D19" s="4" t="s">
        <v>9</v>
      </c>
      <c r="E19" s="4">
        <v>801.26</v>
      </c>
      <c r="F19" s="4">
        <v>797.24</v>
      </c>
      <c r="G19" s="4" t="s">
        <v>9</v>
      </c>
      <c r="H19" s="4">
        <v>820.76</v>
      </c>
      <c r="I19" s="4">
        <v>864.72</v>
      </c>
    </row>
    <row r="20" spans="1:9" ht="15.75" thickBot="1" x14ac:dyDescent="0.3">
      <c r="A20" s="3">
        <v>19</v>
      </c>
      <c r="B20" s="4">
        <v>812.45</v>
      </c>
      <c r="C20" s="4" t="s">
        <v>9</v>
      </c>
      <c r="D20" s="4" t="s">
        <v>9</v>
      </c>
      <c r="E20" s="4">
        <v>795.23</v>
      </c>
      <c r="F20" s="4">
        <v>796.04</v>
      </c>
      <c r="G20" s="4">
        <v>793.35</v>
      </c>
      <c r="H20" s="4">
        <v>815.58</v>
      </c>
      <c r="I20" s="4" t="s">
        <v>9</v>
      </c>
    </row>
    <row r="21" spans="1:9" ht="15.75" thickBot="1" x14ac:dyDescent="0.3">
      <c r="A21" s="3">
        <v>20</v>
      </c>
      <c r="B21" s="4">
        <v>828.74</v>
      </c>
      <c r="C21" s="4">
        <v>792.25</v>
      </c>
      <c r="D21" s="4">
        <v>830.65</v>
      </c>
      <c r="E21" s="4">
        <v>796.93</v>
      </c>
      <c r="F21" s="4" t="s">
        <v>9</v>
      </c>
      <c r="G21" s="4">
        <v>795.63</v>
      </c>
      <c r="H21" s="4">
        <v>811.43</v>
      </c>
      <c r="I21" s="4" t="s">
        <v>9</v>
      </c>
    </row>
    <row r="22" spans="1:9" ht="15.75" thickBot="1" x14ac:dyDescent="0.3">
      <c r="A22" s="3">
        <v>21</v>
      </c>
      <c r="B22" s="4" t="s">
        <v>9</v>
      </c>
      <c r="C22" s="4">
        <v>791.7</v>
      </c>
      <c r="D22" s="4">
        <v>826.35</v>
      </c>
      <c r="E22" s="4">
        <v>791.64</v>
      </c>
      <c r="F22" s="4" t="s">
        <v>9</v>
      </c>
      <c r="G22" s="4" t="s">
        <v>9</v>
      </c>
      <c r="H22" s="4">
        <v>807.62</v>
      </c>
      <c r="I22" s="4">
        <v>867.95</v>
      </c>
    </row>
    <row r="23" spans="1:9" ht="15.75" thickBot="1" x14ac:dyDescent="0.3">
      <c r="A23" s="3">
        <v>22</v>
      </c>
      <c r="B23" s="4" t="s">
        <v>9</v>
      </c>
      <c r="C23" s="4">
        <v>797.75</v>
      </c>
      <c r="D23" s="4">
        <v>821.55</v>
      </c>
      <c r="E23" s="4" t="s">
        <v>9</v>
      </c>
      <c r="F23" s="4">
        <v>797</v>
      </c>
      <c r="G23" s="4">
        <v>801.9</v>
      </c>
      <c r="H23" s="4" t="s">
        <v>9</v>
      </c>
      <c r="I23" s="4">
        <v>869.51</v>
      </c>
    </row>
    <row r="24" spans="1:9" ht="15.75" thickBot="1" x14ac:dyDescent="0.3">
      <c r="A24" s="3">
        <v>23</v>
      </c>
      <c r="B24" s="4">
        <v>821.02</v>
      </c>
      <c r="C24" s="4">
        <v>799.42</v>
      </c>
      <c r="D24" s="4">
        <v>818.76</v>
      </c>
      <c r="E24" s="4" t="s">
        <v>9</v>
      </c>
      <c r="F24" s="4">
        <v>800.24</v>
      </c>
      <c r="G24" s="4">
        <v>805.02</v>
      </c>
      <c r="H24" s="4" t="s">
        <v>9</v>
      </c>
      <c r="I24" s="4">
        <v>866.97</v>
      </c>
    </row>
    <row r="25" spans="1:9" ht="15.75" thickBot="1" x14ac:dyDescent="0.3">
      <c r="A25" s="3">
        <v>24</v>
      </c>
      <c r="B25" s="4">
        <v>814.11</v>
      </c>
      <c r="C25" s="4">
        <v>802.93</v>
      </c>
      <c r="D25" s="4">
        <v>805.23</v>
      </c>
      <c r="E25" s="4">
        <v>795.96</v>
      </c>
      <c r="F25" s="4">
        <v>801.71</v>
      </c>
      <c r="G25" s="4" t="s">
        <v>9</v>
      </c>
      <c r="H25" s="4">
        <v>821.95</v>
      </c>
      <c r="I25" s="4">
        <v>860.97</v>
      </c>
    </row>
    <row r="26" spans="1:9" ht="15.75" thickBot="1" x14ac:dyDescent="0.3">
      <c r="A26" s="3">
        <v>25</v>
      </c>
      <c r="B26" s="4">
        <v>805.45</v>
      </c>
      <c r="C26" s="4" t="s">
        <v>9</v>
      </c>
      <c r="D26" s="4" t="s">
        <v>9</v>
      </c>
      <c r="E26" s="4">
        <v>814.75</v>
      </c>
      <c r="F26" s="4">
        <v>809.03</v>
      </c>
      <c r="G26" s="4" t="s">
        <v>9</v>
      </c>
      <c r="H26" s="4">
        <v>827.1</v>
      </c>
      <c r="I26" s="4">
        <v>854.77</v>
      </c>
    </row>
    <row r="27" spans="1:9" ht="15.75" thickBot="1" x14ac:dyDescent="0.3">
      <c r="A27" s="3">
        <v>26</v>
      </c>
      <c r="B27" s="4">
        <v>803.68</v>
      </c>
      <c r="C27" s="4" t="s">
        <v>9</v>
      </c>
      <c r="D27" s="4" t="s">
        <v>9</v>
      </c>
      <c r="E27" s="4">
        <v>813.9</v>
      </c>
      <c r="F27" s="4">
        <v>809.24</v>
      </c>
      <c r="G27" s="4" t="s">
        <v>9</v>
      </c>
      <c r="H27" s="4">
        <v>828.9</v>
      </c>
      <c r="I27" s="4" t="s">
        <v>9</v>
      </c>
    </row>
    <row r="28" spans="1:9" ht="15.75" thickBot="1" x14ac:dyDescent="0.3">
      <c r="A28" s="3">
        <v>27</v>
      </c>
      <c r="B28" s="4">
        <v>802.58</v>
      </c>
      <c r="C28" s="4">
        <v>818.67</v>
      </c>
      <c r="D28" s="4">
        <v>811.48</v>
      </c>
      <c r="E28" s="4">
        <v>805.21</v>
      </c>
      <c r="F28" s="4" t="s">
        <v>9</v>
      </c>
      <c r="G28" s="4">
        <v>808.21</v>
      </c>
      <c r="H28" s="4">
        <v>825.8</v>
      </c>
      <c r="I28" s="4" t="s">
        <v>9</v>
      </c>
    </row>
    <row r="29" spans="1:9" ht="15.75" thickBot="1" x14ac:dyDescent="0.3">
      <c r="A29" s="3">
        <v>28</v>
      </c>
      <c r="B29" s="4" t="s">
        <v>9</v>
      </c>
      <c r="C29" s="4">
        <v>831.24</v>
      </c>
      <c r="D29" s="4">
        <v>806.58</v>
      </c>
      <c r="E29" s="4">
        <v>801.61</v>
      </c>
      <c r="F29" s="4" t="s">
        <v>9</v>
      </c>
      <c r="G29" s="4">
        <v>800.33</v>
      </c>
      <c r="H29" s="4">
        <v>826.01</v>
      </c>
      <c r="I29" s="4">
        <v>843.08</v>
      </c>
    </row>
    <row r="30" spans="1:9" ht="15.75" thickBot="1" x14ac:dyDescent="0.3">
      <c r="A30" s="3">
        <v>29</v>
      </c>
      <c r="B30" s="4" t="s">
        <v>9</v>
      </c>
      <c r="C30" s="4" t="s">
        <v>9</v>
      </c>
      <c r="D30" s="4">
        <v>799.76</v>
      </c>
      <c r="E30" s="4" t="s">
        <v>9</v>
      </c>
      <c r="F30" s="4">
        <v>804.11</v>
      </c>
      <c r="G30" s="4">
        <v>800.89</v>
      </c>
      <c r="H30" s="4" t="s">
        <v>9</v>
      </c>
      <c r="I30" s="4">
        <v>848.86</v>
      </c>
    </row>
    <row r="31" spans="1:9" ht="15.75" thickBot="1" x14ac:dyDescent="0.3">
      <c r="A31" s="3">
        <v>30</v>
      </c>
      <c r="B31" s="4">
        <v>803.14</v>
      </c>
      <c r="C31" s="4" t="s">
        <v>9</v>
      </c>
      <c r="D31" s="4">
        <v>792.18</v>
      </c>
      <c r="E31" s="4" t="s">
        <v>9</v>
      </c>
      <c r="F31" s="4">
        <v>802.14</v>
      </c>
      <c r="G31" s="4">
        <v>802.68</v>
      </c>
      <c r="H31" s="4" t="s">
        <v>9</v>
      </c>
      <c r="I31" s="4">
        <v>857.59</v>
      </c>
    </row>
    <row r="32" spans="1:9" ht="15.75" thickBot="1" x14ac:dyDescent="0.3">
      <c r="A32" s="3">
        <v>31</v>
      </c>
      <c r="B32" s="4">
        <v>810.37</v>
      </c>
      <c r="C32" s="4" t="s">
        <v>9</v>
      </c>
      <c r="D32" s="4">
        <v>789.32</v>
      </c>
      <c r="E32" s="4" t="s">
        <v>9</v>
      </c>
      <c r="F32" s="4">
        <v>803.94</v>
      </c>
      <c r="G32" s="4" t="s">
        <v>9</v>
      </c>
      <c r="H32" s="4">
        <v>827.84</v>
      </c>
      <c r="I32" s="4">
        <v>854.22</v>
      </c>
    </row>
    <row r="33" spans="1:11" x14ac:dyDescent="0.25">
      <c r="A33" t="s">
        <v>11</v>
      </c>
      <c r="B33">
        <f t="shared" ref="B33:I33" si="0">AVERAGE(B2:B32)</f>
        <v>826.33571428571429</v>
      </c>
      <c r="C33">
        <f t="shared" si="0"/>
        <v>798.25750000000005</v>
      </c>
      <c r="D33">
        <f t="shared" si="0"/>
        <v>809.50391304347806</v>
      </c>
      <c r="E33">
        <f t="shared" si="0"/>
        <v>803.83684210526326</v>
      </c>
      <c r="F33">
        <f t="shared" si="0"/>
        <v>798.63545454545454</v>
      </c>
      <c r="G33">
        <f t="shared" si="0"/>
        <v>799.87249999999995</v>
      </c>
      <c r="H33">
        <f t="shared" si="0"/>
        <v>813.39714285714285</v>
      </c>
      <c r="I33">
        <f t="shared" si="0"/>
        <v>855.65954545454554</v>
      </c>
    </row>
    <row r="34" spans="1:11" x14ac:dyDescent="0.25">
      <c r="A34" t="s">
        <v>12</v>
      </c>
      <c r="B34" s="5">
        <f>_xlfn.STDEV.P(B2:B32)</f>
        <v>17.719390393531242</v>
      </c>
      <c r="C34" s="5">
        <f t="shared" ref="C34:I34" si="1">STDEV(C2:C32)</f>
        <v>10.949870883641546</v>
      </c>
      <c r="D34" s="5">
        <f t="shared" si="1"/>
        <v>11.914271327480417</v>
      </c>
      <c r="E34" s="5">
        <f t="shared" si="1"/>
        <v>8.9429140494531509</v>
      </c>
      <c r="F34" s="5">
        <f t="shared" si="1"/>
        <v>7.1501819672300728</v>
      </c>
      <c r="G34" s="5">
        <f t="shared" si="1"/>
        <v>6.0895318936852991</v>
      </c>
      <c r="H34" s="5">
        <f t="shared" si="1"/>
        <v>10.370726658656638</v>
      </c>
      <c r="I34" s="5">
        <f t="shared" si="1"/>
        <v>8.1915353972562546</v>
      </c>
    </row>
    <row r="35" spans="1:11" x14ac:dyDescent="0.25">
      <c r="A35" t="s">
        <v>10</v>
      </c>
      <c r="B35" s="6">
        <f>B34/B33</f>
        <v>2.1443331187552393E-2</v>
      </c>
      <c r="C35" s="6">
        <f t="shared" ref="C35:I35" si="2">C34/C33</f>
        <v>1.371721641655925E-2</v>
      </c>
      <c r="D35" s="6">
        <f t="shared" si="2"/>
        <v>1.4717991025746292E-2</v>
      </c>
      <c r="E35" s="6">
        <f t="shared" si="2"/>
        <v>1.1125285108892866E-2</v>
      </c>
      <c r="F35" s="6">
        <f t="shared" si="2"/>
        <v>8.9529984256704678E-3</v>
      </c>
      <c r="G35" s="6">
        <f t="shared" si="2"/>
        <v>7.6131282094150004E-3</v>
      </c>
      <c r="H35" s="6">
        <f t="shared" si="2"/>
        <v>1.2749893148417478E-2</v>
      </c>
      <c r="I35" s="6">
        <f t="shared" si="2"/>
        <v>9.5733582834101709E-3</v>
      </c>
    </row>
    <row r="36" spans="1:11" x14ac:dyDescent="0.25">
      <c r="B36">
        <f>PERCENTILE(B2:I32,0.27)</f>
        <v>799.30169999999998</v>
      </c>
      <c r="J36" t="s">
        <v>17</v>
      </c>
      <c r="K36">
        <f>MIN(B2:I32)</f>
        <v>781.49</v>
      </c>
    </row>
    <row r="37" spans="1:11" x14ac:dyDescent="0.25">
      <c r="B37">
        <f>_xlfn.PERCENTILE.INC(B2:I32,0.4)</f>
        <v>802.88800000000003</v>
      </c>
      <c r="J37" t="s">
        <v>13</v>
      </c>
      <c r="K37">
        <f>_xlfn.QUARTILE.INC(B2:I32,1)</f>
        <v>797.85</v>
      </c>
    </row>
    <row r="38" spans="1:11" x14ac:dyDescent="0.25">
      <c r="B38">
        <f>_xlfn.QUARTILE.INC(B2:I32,1)</f>
        <v>797.85</v>
      </c>
      <c r="J38" t="s">
        <v>14</v>
      </c>
      <c r="K38">
        <f>_xlfn.QUARTILE.INC(B3:I33,2)</f>
        <v>805.22</v>
      </c>
    </row>
    <row r="39" spans="1:11" x14ac:dyDescent="0.25">
      <c r="B39">
        <f>_xlfn.QUARTILE.INC(B2:I32,3)</f>
        <v>822.82249999999999</v>
      </c>
      <c r="J39" t="s">
        <v>15</v>
      </c>
      <c r="K39">
        <f>_xlfn.QUARTILE.INC(B2:I32,3)</f>
        <v>822.82249999999999</v>
      </c>
    </row>
    <row r="40" spans="1:11" x14ac:dyDescent="0.25">
      <c r="J40" t="s">
        <v>16</v>
      </c>
      <c r="K40">
        <f>MAX(B2:I32)</f>
        <v>869.51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ANDREA RIQUELME ALARCON</dc:creator>
  <cp:lastModifiedBy>Bruno Maldonado</cp:lastModifiedBy>
  <dcterms:created xsi:type="dcterms:W3CDTF">2024-07-10T13:25:07Z</dcterms:created>
  <dcterms:modified xsi:type="dcterms:W3CDTF">2025-04-02T20:47:44Z</dcterms:modified>
</cp:coreProperties>
</file>