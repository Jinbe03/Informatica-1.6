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Eduardo/Desktop/ABPro/"/>
    </mc:Choice>
  </mc:AlternateContent>
  <xr:revisionPtr revIDLastSave="0" documentId="13_ncr:1_{D4CF3A41-A7B4-CC49-9A66-AF6E1ED3E45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úbrica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10" i="1"/>
  <c r="K10" i="1" s="1"/>
  <c r="J11" i="1"/>
  <c r="K11" i="1" s="1"/>
  <c r="J12" i="1"/>
  <c r="K12" i="1" s="1"/>
  <c r="J13" i="1"/>
  <c r="K13" i="1" s="1"/>
  <c r="J14" i="1"/>
  <c r="J15" i="1"/>
  <c r="J16" i="1"/>
  <c r="K16" i="1" s="1"/>
  <c r="J17" i="1"/>
  <c r="K17" i="1" s="1"/>
  <c r="J18" i="1"/>
  <c r="K18" i="1" s="1"/>
  <c r="J19" i="1"/>
  <c r="J20" i="1"/>
  <c r="K20" i="1" s="1"/>
  <c r="J21" i="1"/>
  <c r="K21" i="1" s="1"/>
  <c r="J22" i="1"/>
  <c r="J23" i="1"/>
  <c r="J24" i="1"/>
  <c r="K24" i="1" s="1"/>
  <c r="J25" i="1"/>
  <c r="K25" i="1" s="1"/>
  <c r="J26" i="1"/>
  <c r="K26" i="1" s="1"/>
  <c r="J27" i="1"/>
  <c r="J28" i="1"/>
  <c r="K28" i="1" s="1"/>
  <c r="J29" i="1"/>
  <c r="K29" i="1" s="1"/>
  <c r="J9" i="1"/>
  <c r="K14" i="1"/>
  <c r="K15" i="1"/>
  <c r="K19" i="1"/>
  <c r="K22" i="1"/>
  <c r="K23" i="1"/>
  <c r="K27" i="1"/>
  <c r="K9" i="1" l="1"/>
  <c r="K30" i="1" s="1"/>
  <c r="K31" i="1" s="1"/>
  <c r="H30" i="1"/>
</calcChain>
</file>

<file path=xl/sharedStrings.xml><?xml version="1.0" encoding="utf-8"?>
<sst xmlns="http://schemas.openxmlformats.org/spreadsheetml/2006/main" count="145" uniqueCount="132">
  <si>
    <t xml:space="preserve">Asignatura: </t>
  </si>
  <si>
    <t>Número de Indicadores:</t>
  </si>
  <si>
    <t>Docente/s:</t>
  </si>
  <si>
    <t>Estudiante/s:</t>
  </si>
  <si>
    <t>Criterios de Evaluación</t>
  </si>
  <si>
    <t>Indicadores</t>
  </si>
  <si>
    <t>Ponderación en %</t>
  </si>
  <si>
    <t>Puntaje Obtenido</t>
  </si>
  <si>
    <t>4.1.6 Construye una presentación con la información relevante del proyecto, exponiendo sus principales resultados y conclusiones.</t>
  </si>
  <si>
    <t>Entrega</t>
  </si>
  <si>
    <t>La presentación tiene como tiempo de entrega más de un día atraso o bien entrega en un formato que no corresponde o bien no corresponde al proyecto declarado</t>
  </si>
  <si>
    <t>4.1.1 Selecciona un tema de investigación, realizando un proceso de indagación previa, que evidencie el uso de geometría plana y/o espacial u otra noción matemática en contexto de la especialidad.</t>
  </si>
  <si>
    <t>4.1.1 y 4.1.2</t>
  </si>
  <si>
    <t>Etapa 1</t>
  </si>
  <si>
    <t>Cumple con la entrega de dos o menos de los elementos solicitados en la pauta de cotejo 1.</t>
  </si>
  <si>
    <t>Tema del proyecto</t>
  </si>
  <si>
    <t>4.1.2 Diseña un proyecto, planteando los objetivos y la pregunta de investigación clave, que incorpore el uso del conocimiento matemático en contexto de especialidad.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</si>
  <si>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</si>
  <si>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</si>
  <si>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</si>
  <si>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</si>
  <si>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</si>
  <si>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</si>
  <si>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</si>
  <si>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</si>
  <si>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</si>
  <si>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</si>
  <si>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</si>
  <si>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</si>
  <si>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</si>
  <si>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</si>
  <si>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</si>
  <si>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4.1.3  y 4.1.4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</si>
  <si>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</si>
  <si>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</si>
  <si>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</si>
  <si>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</si>
  <si>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4.1.3 Utiliza herramientas tecnológicas, optimizando los procesos involucrados en el ciclo ABPro.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</si>
  <si>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</si>
  <si>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</si>
  <si>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</si>
  <si>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</si>
  <si>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</si>
  <si>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4.1.4 Integra suficiente información relevante para responder la pregunta clave, la información proviene de múltiples y variadas fuentes.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</si>
  <si>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</si>
  <si>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</si>
  <si>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</si>
  <si>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</si>
  <si>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</si>
  <si>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</si>
  <si>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</si>
  <si>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</si>
  <si>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</si>
  <si>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</si>
  <si>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</si>
  <si>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</si>
  <si>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</si>
  <si>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</si>
  <si>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</si>
  <si>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</si>
  <si>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</si>
  <si>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4.1.5 Juzga la elección de los criterios utilizados para evaluar las ideas y/o soluciones a los problemas, considerando las retroalimentaciones para revisarlo y mejorarlo.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</si>
  <si>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</si>
  <si>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</si>
  <si>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</si>
  <si>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</si>
  <si>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</si>
  <si>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</si>
  <si>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</si>
  <si>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</si>
  <si>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</si>
  <si>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</si>
  <si>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</si>
  <si>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</si>
  <si>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todos los requerimientos con respecto a lo que debe ser incluido en la presentación respetando formato y orden.
Organiza bien el tiempo, además se considera la duración solicitada de 10 a 15 minutos, además todos los miembros del equipo participan activamente en todo el video en la misma proporción.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</si>
  <si>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</si>
  <si>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el video, pero no en la misma proporción.</t>
  </si>
  <si>
    <t>No cumple los requerimientos con respecto a lo que debe ser incluido en la presentación respetando formato y orden.
Usa el tiempo de manera poco adecuada, además tiene una duración que no es la solicitada, de más de 15 minutos, o bien, No todos los miembros del grupo participan.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</si>
  <si>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</si>
  <si>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</si>
  <si>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</si>
  <si>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</si>
  <si>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</si>
  <si>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</si>
  <si>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</si>
  <si>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</si>
  <si>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</si>
  <si>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</si>
  <si>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</si>
  <si>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</si>
  <si>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</si>
  <si>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</si>
  <si>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</si>
  <si>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</si>
  <si>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</si>
  <si>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</si>
  <si>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</si>
  <si>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</si>
  <si>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</si>
  <si>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</si>
  <si>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</si>
  <si>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</si>
  <si>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</si>
  <si>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</si>
  <si>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</si>
  <si>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</si>
  <si>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</si>
  <si>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</si>
  <si>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</si>
  <si>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</si>
  <si>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</si>
  <si>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</si>
  <si>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</si>
  <si>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</si>
  <si>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Agrega nociones matemáticas declaradas en la cuarta unidad u otras nociones matemáticas justificando su uso y está acorde con la problemática presentada.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</si>
  <si>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</si>
  <si>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</si>
  <si>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</si>
  <si>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</si>
  <si>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</si>
  <si>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</si>
  <si>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</si>
  <si>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</si>
  <si>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</si>
  <si>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</si>
  <si>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</si>
  <si>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</si>
  <si>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</si>
  <si>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</si>
  <si>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La presentación es entregada en el tiempo correspondiente, en archivo digital, con formato audiovisual, el cual contiene: imágenes del proceso del desarrollo del trabajo.</t>
  </si>
  <si>
    <t>La presentación es entregada en el tiempo correspondiente, en archivo digital, sin embargo, carece de uno de los siguientes elementos: audio y/o imágenes</t>
  </si>
  <si>
    <t>La presentación tiene 1 día de atraso o bien es entregada en formato audiovisual.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</si>
</sst>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Open Sans"/>
      <family val="2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 applyProtection="1">
      <protection locked="0"/>
    </xf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4" fillId="7" borderId="6" xfId="0" applyNumberFormat="1" applyFont="1" applyFill="1" applyBorder="1" applyAlignment="1">
      <alignment horizontal="center" vertical="center"/>
    </xf>
    <xf numFmtId="164" fontId="14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8" fillId="6" borderId="12" xfId="3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8" borderId="6" xfId="0" applyFont="1" applyFill="1" applyBorder="1" applyAlignment="1">
      <alignment vertical="center" wrapText="1"/>
    </xf>
    <xf numFmtId="0" fontId="20" fillId="0" borderId="6" xfId="0" applyFont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1940719</xdr:colOff>
      <xdr:row>0</xdr:row>
      <xdr:rowOff>173976</xdr:rowOff>
    </xdr:from>
    <xdr:to>
      <xdr:col>10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47625</xdr:colOff>
      <xdr:row>0</xdr:row>
      <xdr:rowOff>114300</xdr:rowOff>
    </xdr:from>
    <xdr:to>
      <xdr:col>3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150" zoomScaleNormal="150" workbookViewId="0">
      <selection activeCell="I9" sqref="I9"/>
    </sheetView>
  </sheetViews>
  <sheetFormatPr baseColWidth="10" defaultColWidth="11.5" defaultRowHeight="14" x14ac:dyDescent="0.2"/>
  <cols>
    <col min="1" max="1" width="5.5" style="2" customWidth="1"/>
    <col min="2" max="2" width="22.5" style="2" customWidth="1"/>
    <col min="3" max="3" width="28.33203125" style="2" customWidth="1"/>
    <col min="4" max="7" width="26.33203125" style="2" customWidth="1"/>
    <col min="8" max="8" width="20.1640625" style="2" customWidth="1"/>
    <col min="9" max="9" width="21.33203125" style="2" customWidth="1"/>
    <col min="10" max="10" width="13.5" style="2" customWidth="1"/>
    <col min="11" max="11" width="54.5" style="2" customWidth="1"/>
    <col min="12" max="12" width="11.5" style="2"/>
    <col min="13" max="13" width="11.5" style="2" hidden="1" customWidth="1"/>
    <col min="14" max="16384" width="11.5" style="2"/>
  </cols>
  <sheetData>
    <row r="1" spans="1:18" ht="78" customHeight="1" x14ac:dyDescent="0.2">
      <c r="B1" s="1"/>
      <c r="C1" s="44"/>
      <c r="D1" s="44"/>
      <c r="E1" s="44"/>
      <c r="F1" s="44"/>
      <c r="G1" s="44"/>
      <c r="H1" s="44"/>
      <c r="I1" s="44"/>
      <c r="J1" s="44"/>
      <c r="K1" s="44"/>
    </row>
    <row r="2" spans="1:18" x14ac:dyDescent="0.2">
      <c r="B2" s="1"/>
      <c r="C2" s="45" t="s">
        <v>0</v>
      </c>
      <c r="D2" s="45"/>
      <c r="E2" s="45"/>
      <c r="F2" s="15"/>
      <c r="G2" s="3"/>
      <c r="H2" s="46" t="s">
        <v>1</v>
      </c>
      <c r="I2" s="46"/>
      <c r="J2" s="46"/>
      <c r="K2" s="4">
        <v>21</v>
      </c>
    </row>
    <row r="3" spans="1:18" x14ac:dyDescent="0.2">
      <c r="B3" s="1"/>
      <c r="C3" s="45" t="s">
        <v>2</v>
      </c>
      <c r="D3" s="45"/>
      <c r="E3" s="45"/>
      <c r="F3" s="15"/>
      <c r="G3" s="3"/>
      <c r="H3" s="3"/>
      <c r="I3" s="3"/>
      <c r="J3" s="3"/>
      <c r="K3" s="3"/>
    </row>
    <row r="4" spans="1:18" x14ac:dyDescent="0.2">
      <c r="B4" s="1"/>
      <c r="C4" s="45" t="s">
        <v>3</v>
      </c>
      <c r="D4" s="45"/>
      <c r="E4" s="45"/>
      <c r="F4" s="15"/>
      <c r="G4" s="3"/>
      <c r="H4" s="3"/>
      <c r="I4" s="3"/>
      <c r="J4" s="3"/>
      <c r="K4" s="3"/>
    </row>
    <row r="5" spans="1:18" ht="15" thickBot="1" x14ac:dyDescent="0.25">
      <c r="B5" s="1"/>
      <c r="C5" s="47"/>
      <c r="D5" s="47"/>
      <c r="E5" s="47"/>
      <c r="F5" s="4"/>
      <c r="G5" s="3"/>
      <c r="H5" s="3"/>
      <c r="I5" s="3"/>
      <c r="J5" s="3"/>
      <c r="K5" s="3"/>
    </row>
    <row r="6" spans="1:18" ht="33" customHeight="1" thickBot="1" x14ac:dyDescent="0.25">
      <c r="B6" s="1"/>
      <c r="C6" s="41"/>
      <c r="D6" s="42"/>
      <c r="E6" s="42"/>
      <c r="F6" s="42"/>
      <c r="G6" s="42"/>
      <c r="H6" s="42"/>
      <c r="I6" s="42"/>
      <c r="J6" s="42"/>
      <c r="K6" s="43"/>
    </row>
    <row r="7" spans="1:18" x14ac:dyDescent="0.2">
      <c r="B7" s="5"/>
      <c r="C7" s="6"/>
      <c r="D7" s="7"/>
      <c r="E7" s="8"/>
      <c r="F7" s="8"/>
      <c r="G7" s="8"/>
      <c r="H7" s="8"/>
      <c r="I7" s="8"/>
      <c r="J7" s="8"/>
      <c r="K7" s="5"/>
    </row>
    <row r="8" spans="1:18" ht="30" x14ac:dyDescent="0.2">
      <c r="B8" s="25" t="s">
        <v>4</v>
      </c>
      <c r="C8" s="30" t="s">
        <v>5</v>
      </c>
      <c r="D8" s="30" t="s">
        <v>101</v>
      </c>
      <c r="E8" s="30" t="s">
        <v>102</v>
      </c>
      <c r="F8" s="30" t="s">
        <v>103</v>
      </c>
      <c r="G8" s="30" t="s">
        <v>104</v>
      </c>
      <c r="H8" s="31" t="s">
        <v>6</v>
      </c>
      <c r="I8" s="28" t="s">
        <v>7</v>
      </c>
      <c r="J8" s="9" t="s">
        <v>99</v>
      </c>
      <c r="K8" s="10" t="s">
        <v>100</v>
      </c>
    </row>
    <row r="9" spans="1:18" s="12" customFormat="1" ht="85.5" customHeight="1" x14ac:dyDescent="0.2">
      <c r="A9" s="12">
        <v>1</v>
      </c>
      <c r="B9" s="26" t="s">
        <v>8</v>
      </c>
      <c r="C9" s="32" t="s">
        <v>9</v>
      </c>
      <c r="D9" s="33" t="s">
        <v>129</v>
      </c>
      <c r="E9" s="33" t="s">
        <v>130</v>
      </c>
      <c r="F9" s="33" t="s">
        <v>131</v>
      </c>
      <c r="G9" s="33" t="s">
        <v>10</v>
      </c>
      <c r="H9" s="34">
        <v>2</v>
      </c>
      <c r="I9" s="19">
        <v>7</v>
      </c>
      <c r="J9" s="20">
        <f>I9/6-1/6</f>
        <v>1</v>
      </c>
      <c r="K9" s="21">
        <f>J9*H9/100</f>
        <v>0.02</v>
      </c>
      <c r="R9" s="24"/>
    </row>
    <row r="10" spans="1:18" ht="96" customHeight="1" x14ac:dyDescent="0.2">
      <c r="A10" s="2">
        <v>2</v>
      </c>
      <c r="B10" s="27" t="s">
        <v>11</v>
      </c>
      <c r="C10" s="35" t="s">
        <v>13</v>
      </c>
      <c r="D10" s="36" t="s">
        <v>105</v>
      </c>
      <c r="E10" s="36" t="s">
        <v>106</v>
      </c>
      <c r="F10" s="36" t="s">
        <v>107</v>
      </c>
      <c r="G10" s="36" t="s">
        <v>14</v>
      </c>
      <c r="H10" s="34">
        <v>2</v>
      </c>
      <c r="I10" s="19">
        <v>7</v>
      </c>
      <c r="J10" s="20">
        <f t="shared" ref="J10:J29" si="0">I10/6-1/6</f>
        <v>1</v>
      </c>
      <c r="K10" s="21">
        <f t="shared" ref="K10:K29" si="1">J10*H10/100</f>
        <v>0.02</v>
      </c>
      <c r="M10" s="2">
        <v>7</v>
      </c>
    </row>
    <row r="11" spans="1:18" ht="84" customHeight="1" x14ac:dyDescent="0.2">
      <c r="A11" s="2">
        <v>3</v>
      </c>
      <c r="B11" s="27" t="s">
        <v>12</v>
      </c>
      <c r="C11" s="35" t="s">
        <v>15</v>
      </c>
      <c r="D11" s="36" t="s">
        <v>108</v>
      </c>
      <c r="E11" s="36" t="s">
        <v>109</v>
      </c>
      <c r="F11" s="37" t="s">
        <v>110</v>
      </c>
      <c r="G11" s="37" t="s">
        <v>111</v>
      </c>
      <c r="H11" s="34">
        <v>10</v>
      </c>
      <c r="I11" s="19">
        <v>7</v>
      </c>
      <c r="J11" s="20">
        <f t="shared" si="0"/>
        <v>1</v>
      </c>
      <c r="K11" s="21">
        <f t="shared" si="1"/>
        <v>0.1</v>
      </c>
      <c r="M11" s="12">
        <v>5</v>
      </c>
    </row>
    <row r="12" spans="1:18" ht="93" customHeight="1" x14ac:dyDescent="0.2">
      <c r="A12" s="12">
        <v>4</v>
      </c>
      <c r="B12" s="27" t="s">
        <v>11</v>
      </c>
      <c r="C12" s="35" t="s">
        <v>17</v>
      </c>
      <c r="D12" s="36" t="s">
        <v>18</v>
      </c>
      <c r="E12" s="36" t="s">
        <v>19</v>
      </c>
      <c r="F12" s="36" t="s">
        <v>20</v>
      </c>
      <c r="G12" s="33" t="s">
        <v>112</v>
      </c>
      <c r="H12" s="34">
        <v>5</v>
      </c>
      <c r="I12" s="19">
        <v>7</v>
      </c>
      <c r="J12" s="20">
        <f t="shared" si="0"/>
        <v>1</v>
      </c>
      <c r="K12" s="21">
        <f t="shared" si="1"/>
        <v>0.05</v>
      </c>
      <c r="M12" s="2">
        <v>3</v>
      </c>
    </row>
    <row r="13" spans="1:18" ht="84.75" customHeight="1" x14ac:dyDescent="0.2">
      <c r="A13" s="2">
        <v>5</v>
      </c>
      <c r="B13" s="27" t="s">
        <v>16</v>
      </c>
      <c r="C13" s="35" t="s">
        <v>94</v>
      </c>
      <c r="D13" s="36" t="s">
        <v>21</v>
      </c>
      <c r="E13" s="36" t="s">
        <v>113</v>
      </c>
      <c r="F13" s="36" t="s">
        <v>22</v>
      </c>
      <c r="G13" s="33" t="s">
        <v>23</v>
      </c>
      <c r="H13" s="34">
        <v>5</v>
      </c>
      <c r="I13" s="19">
        <v>7</v>
      </c>
      <c r="J13" s="20">
        <f t="shared" si="0"/>
        <v>1</v>
      </c>
      <c r="K13" s="21">
        <f t="shared" si="1"/>
        <v>0.05</v>
      </c>
      <c r="M13" s="2">
        <v>1</v>
      </c>
    </row>
    <row r="14" spans="1:18" ht="87" customHeight="1" x14ac:dyDescent="0.2">
      <c r="A14" s="2">
        <v>6</v>
      </c>
      <c r="B14" s="27" t="s">
        <v>16</v>
      </c>
      <c r="C14" s="35" t="s">
        <v>24</v>
      </c>
      <c r="D14" s="36" t="s">
        <v>114</v>
      </c>
      <c r="E14" s="36" t="s">
        <v>25</v>
      </c>
      <c r="F14" s="36" t="s">
        <v>26</v>
      </c>
      <c r="G14" s="36" t="s">
        <v>27</v>
      </c>
      <c r="H14" s="34">
        <v>10</v>
      </c>
      <c r="I14" s="19">
        <v>7</v>
      </c>
      <c r="J14" s="20">
        <f t="shared" si="0"/>
        <v>1</v>
      </c>
      <c r="K14" s="21">
        <f t="shared" si="1"/>
        <v>0.1</v>
      </c>
    </row>
    <row r="15" spans="1:18" ht="82.5" customHeight="1" x14ac:dyDescent="0.2">
      <c r="A15" s="12">
        <v>7</v>
      </c>
      <c r="B15" s="27" t="s">
        <v>16</v>
      </c>
      <c r="C15" s="38" t="s">
        <v>28</v>
      </c>
      <c r="D15" s="36" t="s">
        <v>29</v>
      </c>
      <c r="E15" s="36" t="s">
        <v>115</v>
      </c>
      <c r="F15" s="36" t="s">
        <v>30</v>
      </c>
      <c r="G15" s="33" t="s">
        <v>31</v>
      </c>
      <c r="H15" s="34">
        <v>5</v>
      </c>
      <c r="I15" s="19">
        <v>7</v>
      </c>
      <c r="J15" s="20">
        <f t="shared" si="0"/>
        <v>1</v>
      </c>
      <c r="K15" s="21">
        <f t="shared" si="1"/>
        <v>0.05</v>
      </c>
    </row>
    <row r="16" spans="1:18" ht="81.75" customHeight="1" x14ac:dyDescent="0.2">
      <c r="A16" s="2">
        <v>8</v>
      </c>
      <c r="B16" s="27" t="s">
        <v>16</v>
      </c>
      <c r="C16" s="35" t="s">
        <v>33</v>
      </c>
      <c r="D16" s="36" t="s">
        <v>34</v>
      </c>
      <c r="E16" s="36" t="s">
        <v>35</v>
      </c>
      <c r="F16" s="36" t="s">
        <v>116</v>
      </c>
      <c r="G16" s="36" t="s">
        <v>36</v>
      </c>
      <c r="H16" s="34">
        <v>2</v>
      </c>
      <c r="I16" s="19">
        <v>7</v>
      </c>
      <c r="J16" s="20">
        <f t="shared" si="0"/>
        <v>1</v>
      </c>
      <c r="K16" s="21">
        <f t="shared" si="1"/>
        <v>0.02</v>
      </c>
    </row>
    <row r="17" spans="1:11" ht="41.25" customHeight="1" x14ac:dyDescent="0.2">
      <c r="A17" s="2">
        <v>9</v>
      </c>
      <c r="B17" s="27" t="s">
        <v>32</v>
      </c>
      <c r="C17" s="38" t="s">
        <v>38</v>
      </c>
      <c r="D17" s="36" t="s">
        <v>39</v>
      </c>
      <c r="E17" s="36" t="s">
        <v>40</v>
      </c>
      <c r="F17" s="36" t="s">
        <v>41</v>
      </c>
      <c r="G17" s="36" t="s">
        <v>42</v>
      </c>
      <c r="H17" s="34">
        <v>3</v>
      </c>
      <c r="I17" s="19">
        <v>7</v>
      </c>
      <c r="J17" s="20">
        <f t="shared" si="0"/>
        <v>1</v>
      </c>
      <c r="K17" s="21">
        <f t="shared" si="1"/>
        <v>0.03</v>
      </c>
    </row>
    <row r="18" spans="1:11" ht="53.25" customHeight="1" x14ac:dyDescent="0.2">
      <c r="A18" s="2">
        <v>10</v>
      </c>
      <c r="B18" s="27" t="s">
        <v>37</v>
      </c>
      <c r="C18" s="35" t="s">
        <v>44</v>
      </c>
      <c r="D18" s="36" t="s">
        <v>117</v>
      </c>
      <c r="E18" s="36" t="s">
        <v>45</v>
      </c>
      <c r="F18" s="36" t="s">
        <v>46</v>
      </c>
      <c r="G18" s="36" t="s">
        <v>47</v>
      </c>
      <c r="H18" s="34">
        <v>8</v>
      </c>
      <c r="I18" s="19">
        <v>7</v>
      </c>
      <c r="J18" s="20">
        <f t="shared" si="0"/>
        <v>1</v>
      </c>
      <c r="K18" s="21">
        <f t="shared" si="1"/>
        <v>0.08</v>
      </c>
    </row>
    <row r="19" spans="1:11" ht="96.75" customHeight="1" x14ac:dyDescent="0.2">
      <c r="A19" s="2">
        <v>11</v>
      </c>
      <c r="B19" s="27" t="s">
        <v>43</v>
      </c>
      <c r="C19" s="35" t="s">
        <v>118</v>
      </c>
      <c r="D19" s="36" t="s">
        <v>119</v>
      </c>
      <c r="E19" s="36" t="s">
        <v>120</v>
      </c>
      <c r="F19" s="36" t="s">
        <v>121</v>
      </c>
      <c r="G19" s="36" t="s">
        <v>122</v>
      </c>
      <c r="H19" s="34">
        <v>1</v>
      </c>
      <c r="I19" s="19">
        <v>7</v>
      </c>
      <c r="J19" s="20">
        <f t="shared" si="0"/>
        <v>1</v>
      </c>
      <c r="K19" s="21">
        <f t="shared" si="1"/>
        <v>0.01</v>
      </c>
    </row>
    <row r="20" spans="1:11" ht="84" customHeight="1" x14ac:dyDescent="0.2">
      <c r="A20" s="2">
        <v>12</v>
      </c>
      <c r="B20" s="27" t="s">
        <v>43</v>
      </c>
      <c r="C20" s="35" t="s">
        <v>48</v>
      </c>
      <c r="D20" s="36" t="s">
        <v>49</v>
      </c>
      <c r="E20" s="36" t="s">
        <v>50</v>
      </c>
      <c r="F20" s="36" t="s">
        <v>123</v>
      </c>
      <c r="G20" s="37" t="s">
        <v>124</v>
      </c>
      <c r="H20" s="34">
        <v>2</v>
      </c>
      <c r="I20" s="19">
        <v>7</v>
      </c>
      <c r="J20" s="20">
        <f t="shared" si="0"/>
        <v>1</v>
      </c>
      <c r="K20" s="21">
        <f t="shared" si="1"/>
        <v>0.02</v>
      </c>
    </row>
    <row r="21" spans="1:11" ht="93" customHeight="1" x14ac:dyDescent="0.2">
      <c r="A21" s="2">
        <v>13</v>
      </c>
      <c r="B21" s="27" t="s">
        <v>43</v>
      </c>
      <c r="C21" s="35" t="s">
        <v>51</v>
      </c>
      <c r="D21" s="36" t="s">
        <v>52</v>
      </c>
      <c r="E21" s="36" t="s">
        <v>53</v>
      </c>
      <c r="F21" s="36" t="s">
        <v>54</v>
      </c>
      <c r="G21" s="36" t="s">
        <v>55</v>
      </c>
      <c r="H21" s="34">
        <v>3</v>
      </c>
      <c r="I21" s="19">
        <v>7</v>
      </c>
      <c r="J21" s="20">
        <f t="shared" si="0"/>
        <v>1</v>
      </c>
      <c r="K21" s="21">
        <f t="shared" si="1"/>
        <v>0.03</v>
      </c>
    </row>
    <row r="22" spans="1:11" ht="73.5" customHeight="1" x14ac:dyDescent="0.2">
      <c r="B22" s="27" t="s">
        <v>43</v>
      </c>
      <c r="C22" s="35" t="s">
        <v>56</v>
      </c>
      <c r="D22" s="36" t="s">
        <v>57</v>
      </c>
      <c r="E22" s="36" t="s">
        <v>58</v>
      </c>
      <c r="F22" s="36" t="s">
        <v>59</v>
      </c>
      <c r="G22" s="36" t="s">
        <v>60</v>
      </c>
      <c r="H22" s="34">
        <v>3</v>
      </c>
      <c r="I22" s="19">
        <v>7</v>
      </c>
      <c r="J22" s="20">
        <f t="shared" si="0"/>
        <v>1</v>
      </c>
      <c r="K22" s="21">
        <f t="shared" si="1"/>
        <v>0.03</v>
      </c>
    </row>
    <row r="23" spans="1:11" ht="92.25" customHeight="1" x14ac:dyDescent="0.2">
      <c r="A23" s="2">
        <v>15</v>
      </c>
      <c r="B23" s="27" t="s">
        <v>61</v>
      </c>
      <c r="C23" s="17" t="s">
        <v>125</v>
      </c>
      <c r="D23" s="16" t="s">
        <v>126</v>
      </c>
      <c r="E23" s="16" t="s">
        <v>127</v>
      </c>
      <c r="F23" s="16" t="s">
        <v>128</v>
      </c>
      <c r="G23" s="16" t="s">
        <v>62</v>
      </c>
      <c r="H23" s="11">
        <v>5</v>
      </c>
      <c r="I23" s="19">
        <v>7</v>
      </c>
      <c r="J23" s="20">
        <f t="shared" si="0"/>
        <v>1</v>
      </c>
      <c r="K23" s="21">
        <f t="shared" si="1"/>
        <v>0.05</v>
      </c>
    </row>
    <row r="24" spans="1:11" ht="102" customHeight="1" x14ac:dyDescent="0.2">
      <c r="A24" s="2">
        <v>16</v>
      </c>
      <c r="B24" s="27" t="s">
        <v>61</v>
      </c>
      <c r="C24" s="17" t="s">
        <v>63</v>
      </c>
      <c r="D24" s="16" t="s">
        <v>64</v>
      </c>
      <c r="E24" s="18" t="s">
        <v>65</v>
      </c>
      <c r="F24" s="16" t="s">
        <v>66</v>
      </c>
      <c r="G24" s="16" t="s">
        <v>67</v>
      </c>
      <c r="H24" s="11">
        <v>5</v>
      </c>
      <c r="I24" s="19">
        <v>7</v>
      </c>
      <c r="J24" s="20">
        <f t="shared" si="0"/>
        <v>1</v>
      </c>
      <c r="K24" s="21">
        <f t="shared" si="1"/>
        <v>0.05</v>
      </c>
    </row>
    <row r="25" spans="1:11" ht="87.75" customHeight="1" x14ac:dyDescent="0.2">
      <c r="A25" s="2">
        <v>17</v>
      </c>
      <c r="B25" s="27" t="s">
        <v>61</v>
      </c>
      <c r="C25" s="17" t="s">
        <v>68</v>
      </c>
      <c r="D25" s="18" t="s">
        <v>69</v>
      </c>
      <c r="E25" s="16" t="s">
        <v>70</v>
      </c>
      <c r="F25" s="16" t="s">
        <v>71</v>
      </c>
      <c r="G25" s="16" t="s">
        <v>72</v>
      </c>
      <c r="H25" s="11">
        <v>3</v>
      </c>
      <c r="I25" s="19">
        <v>7</v>
      </c>
      <c r="J25" s="20">
        <f t="shared" si="0"/>
        <v>1</v>
      </c>
      <c r="K25" s="21">
        <f t="shared" si="1"/>
        <v>0.03</v>
      </c>
    </row>
    <row r="26" spans="1:11" ht="138.75" customHeight="1" x14ac:dyDescent="0.2">
      <c r="A26" s="2">
        <v>18</v>
      </c>
      <c r="B26" s="27" t="s">
        <v>8</v>
      </c>
      <c r="C26" s="17" t="s">
        <v>73</v>
      </c>
      <c r="D26" s="16" t="s">
        <v>74</v>
      </c>
      <c r="E26" s="16" t="s">
        <v>75</v>
      </c>
      <c r="F26" s="16" t="s">
        <v>76</v>
      </c>
      <c r="G26" s="16" t="s">
        <v>77</v>
      </c>
      <c r="H26" s="11">
        <v>3</v>
      </c>
      <c r="I26" s="19">
        <v>7</v>
      </c>
      <c r="J26" s="20">
        <f t="shared" si="0"/>
        <v>1</v>
      </c>
      <c r="K26" s="21">
        <f t="shared" si="1"/>
        <v>0.03</v>
      </c>
    </row>
    <row r="27" spans="1:11" ht="150" customHeight="1" x14ac:dyDescent="0.2">
      <c r="A27" s="2">
        <v>19</v>
      </c>
      <c r="B27" s="27" t="s">
        <v>8</v>
      </c>
      <c r="C27" s="17" t="s">
        <v>78</v>
      </c>
      <c r="D27" s="16" t="s">
        <v>79</v>
      </c>
      <c r="E27" s="16" t="s">
        <v>80</v>
      </c>
      <c r="F27" s="16" t="s">
        <v>81</v>
      </c>
      <c r="G27" s="16" t="s">
        <v>82</v>
      </c>
      <c r="H27" s="11">
        <v>10</v>
      </c>
      <c r="I27" s="19">
        <v>7</v>
      </c>
      <c r="J27" s="20">
        <f t="shared" si="0"/>
        <v>1</v>
      </c>
      <c r="K27" s="21">
        <f t="shared" si="1"/>
        <v>0.1</v>
      </c>
    </row>
    <row r="28" spans="1:11" ht="85.5" customHeight="1" x14ac:dyDescent="0.2">
      <c r="A28" s="2">
        <v>20</v>
      </c>
      <c r="B28" s="27" t="s">
        <v>8</v>
      </c>
      <c r="C28" s="17" t="s">
        <v>83</v>
      </c>
      <c r="D28" s="16" t="s">
        <v>84</v>
      </c>
      <c r="E28" s="16" t="s">
        <v>85</v>
      </c>
      <c r="F28" s="16" t="s">
        <v>86</v>
      </c>
      <c r="G28" s="16" t="s">
        <v>87</v>
      </c>
      <c r="H28" s="11">
        <v>3</v>
      </c>
      <c r="I28" s="19">
        <v>7</v>
      </c>
      <c r="J28" s="20">
        <f t="shared" si="0"/>
        <v>1</v>
      </c>
      <c r="K28" s="21">
        <f t="shared" si="1"/>
        <v>0.03</v>
      </c>
    </row>
    <row r="29" spans="1:11" ht="75" customHeight="1" x14ac:dyDescent="0.2">
      <c r="A29" s="2">
        <v>21</v>
      </c>
      <c r="B29" s="27" t="s">
        <v>8</v>
      </c>
      <c r="C29" s="17" t="s">
        <v>88</v>
      </c>
      <c r="D29" s="16" t="s">
        <v>89</v>
      </c>
      <c r="E29" s="16" t="s">
        <v>90</v>
      </c>
      <c r="F29" s="16" t="s">
        <v>91</v>
      </c>
      <c r="G29" s="16" t="s">
        <v>92</v>
      </c>
      <c r="H29" s="11">
        <v>10</v>
      </c>
      <c r="I29" s="19">
        <v>7</v>
      </c>
      <c r="J29" s="20">
        <f t="shared" si="0"/>
        <v>1</v>
      </c>
      <c r="K29" s="21">
        <f t="shared" si="1"/>
        <v>0.1</v>
      </c>
    </row>
    <row r="30" spans="1:11" ht="39" customHeight="1" x14ac:dyDescent="0.2">
      <c r="D30" s="13"/>
      <c r="E30" s="13"/>
      <c r="F30" s="13"/>
      <c r="G30" s="14" t="s">
        <v>93</v>
      </c>
      <c r="H30" s="29">
        <f>SUM(H9:H29)</f>
        <v>100</v>
      </c>
      <c r="I30" s="39" t="s">
        <v>95</v>
      </c>
      <c r="J30" s="40"/>
      <c r="K30" s="22">
        <f>SUM(K9:K29)</f>
        <v>1.0000000000000002</v>
      </c>
    </row>
    <row r="31" spans="1:11" ht="40" customHeight="1" x14ac:dyDescent="0.2">
      <c r="I31" s="39" t="s">
        <v>96</v>
      </c>
      <c r="J31" s="40"/>
      <c r="K31" s="23">
        <f>VLOOKUP(ROUND(K30*100,0),Hoja1!A:B,2,FALSE)</f>
        <v>7</v>
      </c>
    </row>
  </sheetData>
  <mergeCells count="9">
    <mergeCell ref="I30:J30"/>
    <mergeCell ref="I31:J31"/>
    <mergeCell ref="C6:K6"/>
    <mergeCell ref="C1:K1"/>
    <mergeCell ref="C2:E2"/>
    <mergeCell ref="H2:J2"/>
    <mergeCell ref="C3:E3"/>
    <mergeCell ref="C4:E4"/>
    <mergeCell ref="C5:E5"/>
  </mergeCells>
  <dataValidations count="1">
    <dataValidation type="list" allowBlank="1" showInputMessage="1" showErrorMessage="1" sqref="I9:I29" xr:uid="{D9169459-E9B8-4840-B110-6C42CAFAAE3C}">
      <formula1>$M$10:$M$13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7C73-1B54-A14C-829A-3D4061763D8F}">
  <dimension ref="A1:B102"/>
  <sheetViews>
    <sheetView topLeftCell="A101" workbookViewId="0">
      <selection activeCell="B121" sqref="B121"/>
    </sheetView>
  </sheetViews>
  <sheetFormatPr baseColWidth="10" defaultRowHeight="15" x14ac:dyDescent="0.2"/>
  <cols>
    <col min="1" max="1" width="7.5" bestFit="1" customWidth="1"/>
    <col min="2" max="2" width="5.33203125" bestFit="1" customWidth="1"/>
  </cols>
  <sheetData>
    <row r="1" spans="1:2" x14ac:dyDescent="0.2">
      <c r="A1" t="s">
        <v>97</v>
      </c>
      <c r="B1" t="s">
        <v>98</v>
      </c>
    </row>
    <row r="2" spans="1:2" x14ac:dyDescent="0.2">
      <c r="A2">
        <v>0</v>
      </c>
      <c r="B2">
        <f t="shared" ref="B2:B65" si="0">ROUND(TRUNC(IF(A2&lt;50,3*A2/50+1,3*(A2-50)/50+4),2),1)</f>
        <v>1</v>
      </c>
    </row>
    <row r="3" spans="1:2" x14ac:dyDescent="0.2">
      <c r="A3">
        <v>1</v>
      </c>
      <c r="B3">
        <f t="shared" si="0"/>
        <v>1.1000000000000001</v>
      </c>
    </row>
    <row r="4" spans="1:2" x14ac:dyDescent="0.2">
      <c r="A4">
        <v>2</v>
      </c>
      <c r="B4">
        <f t="shared" si="0"/>
        <v>1.1000000000000001</v>
      </c>
    </row>
    <row r="5" spans="1:2" x14ac:dyDescent="0.2">
      <c r="A5">
        <v>3</v>
      </c>
      <c r="B5">
        <f t="shared" si="0"/>
        <v>1.2</v>
      </c>
    </row>
    <row r="6" spans="1:2" x14ac:dyDescent="0.2">
      <c r="A6">
        <v>4</v>
      </c>
      <c r="B6">
        <f t="shared" si="0"/>
        <v>1.2</v>
      </c>
    </row>
    <row r="7" spans="1:2" x14ac:dyDescent="0.2">
      <c r="A7">
        <v>5</v>
      </c>
      <c r="B7">
        <f t="shared" si="0"/>
        <v>1.3</v>
      </c>
    </row>
    <row r="8" spans="1:2" x14ac:dyDescent="0.2">
      <c r="A8">
        <v>6</v>
      </c>
      <c r="B8">
        <f t="shared" si="0"/>
        <v>1.4</v>
      </c>
    </row>
    <row r="9" spans="1:2" x14ac:dyDescent="0.2">
      <c r="A9">
        <v>7</v>
      </c>
      <c r="B9">
        <f t="shared" si="0"/>
        <v>1.4</v>
      </c>
    </row>
    <row r="10" spans="1:2" x14ac:dyDescent="0.2">
      <c r="A10">
        <v>8</v>
      </c>
      <c r="B10">
        <f t="shared" si="0"/>
        <v>1.5</v>
      </c>
    </row>
    <row r="11" spans="1:2" x14ac:dyDescent="0.2">
      <c r="A11">
        <v>9</v>
      </c>
      <c r="B11">
        <f t="shared" si="0"/>
        <v>1.5</v>
      </c>
    </row>
    <row r="12" spans="1:2" x14ac:dyDescent="0.2">
      <c r="A12">
        <v>10</v>
      </c>
      <c r="B12">
        <f t="shared" si="0"/>
        <v>1.6</v>
      </c>
    </row>
    <row r="13" spans="1:2" x14ac:dyDescent="0.2">
      <c r="A13">
        <v>11</v>
      </c>
      <c r="B13">
        <f t="shared" si="0"/>
        <v>1.7</v>
      </c>
    </row>
    <row r="14" spans="1:2" x14ac:dyDescent="0.2">
      <c r="A14">
        <v>12</v>
      </c>
      <c r="B14">
        <f t="shared" si="0"/>
        <v>1.7</v>
      </c>
    </row>
    <row r="15" spans="1:2" x14ac:dyDescent="0.2">
      <c r="A15">
        <v>13</v>
      </c>
      <c r="B15">
        <f t="shared" si="0"/>
        <v>1.8</v>
      </c>
    </row>
    <row r="16" spans="1:2" x14ac:dyDescent="0.2">
      <c r="A16">
        <v>14</v>
      </c>
      <c r="B16">
        <f t="shared" si="0"/>
        <v>1.8</v>
      </c>
    </row>
    <row r="17" spans="1:2" x14ac:dyDescent="0.2">
      <c r="A17">
        <v>15</v>
      </c>
      <c r="B17">
        <f t="shared" si="0"/>
        <v>1.9</v>
      </c>
    </row>
    <row r="18" spans="1:2" x14ac:dyDescent="0.2">
      <c r="A18">
        <v>16</v>
      </c>
      <c r="B18">
        <f t="shared" si="0"/>
        <v>2</v>
      </c>
    </row>
    <row r="19" spans="1:2" x14ac:dyDescent="0.2">
      <c r="A19">
        <v>17</v>
      </c>
      <c r="B19">
        <f t="shared" si="0"/>
        <v>2</v>
      </c>
    </row>
    <row r="20" spans="1:2" x14ac:dyDescent="0.2">
      <c r="A20">
        <v>18</v>
      </c>
      <c r="B20">
        <f t="shared" si="0"/>
        <v>2.1</v>
      </c>
    </row>
    <row r="21" spans="1:2" x14ac:dyDescent="0.2">
      <c r="A21">
        <v>19</v>
      </c>
      <c r="B21">
        <f t="shared" si="0"/>
        <v>2.1</v>
      </c>
    </row>
    <row r="22" spans="1:2" x14ac:dyDescent="0.2">
      <c r="A22">
        <v>20</v>
      </c>
      <c r="B22">
        <f t="shared" si="0"/>
        <v>2.2000000000000002</v>
      </c>
    </row>
    <row r="23" spans="1:2" x14ac:dyDescent="0.2">
      <c r="A23">
        <v>21</v>
      </c>
      <c r="B23">
        <f t="shared" si="0"/>
        <v>2.2999999999999998</v>
      </c>
    </row>
    <row r="24" spans="1:2" x14ac:dyDescent="0.2">
      <c r="A24">
        <v>22</v>
      </c>
      <c r="B24">
        <f t="shared" si="0"/>
        <v>2.2999999999999998</v>
      </c>
    </row>
    <row r="25" spans="1:2" x14ac:dyDescent="0.2">
      <c r="A25">
        <v>23</v>
      </c>
      <c r="B25">
        <f t="shared" si="0"/>
        <v>2.4</v>
      </c>
    </row>
    <row r="26" spans="1:2" x14ac:dyDescent="0.2">
      <c r="A26">
        <v>24</v>
      </c>
      <c r="B26">
        <f t="shared" si="0"/>
        <v>2.4</v>
      </c>
    </row>
    <row r="27" spans="1:2" x14ac:dyDescent="0.2">
      <c r="A27">
        <v>25</v>
      </c>
      <c r="B27">
        <f t="shared" si="0"/>
        <v>2.5</v>
      </c>
    </row>
    <row r="28" spans="1:2" x14ac:dyDescent="0.2">
      <c r="A28">
        <v>26</v>
      </c>
      <c r="B28">
        <f t="shared" si="0"/>
        <v>2.6</v>
      </c>
    </row>
    <row r="29" spans="1:2" x14ac:dyDescent="0.2">
      <c r="A29">
        <v>27</v>
      </c>
      <c r="B29">
        <f t="shared" si="0"/>
        <v>2.6</v>
      </c>
    </row>
    <row r="30" spans="1:2" x14ac:dyDescent="0.2">
      <c r="A30">
        <v>28</v>
      </c>
      <c r="B30">
        <f t="shared" si="0"/>
        <v>2.7</v>
      </c>
    </row>
    <row r="31" spans="1:2" x14ac:dyDescent="0.2">
      <c r="A31">
        <v>29</v>
      </c>
      <c r="B31">
        <f t="shared" si="0"/>
        <v>2.7</v>
      </c>
    </row>
    <row r="32" spans="1:2" x14ac:dyDescent="0.2">
      <c r="A32">
        <v>30</v>
      </c>
      <c r="B32">
        <f t="shared" si="0"/>
        <v>2.8</v>
      </c>
    </row>
    <row r="33" spans="1:2" x14ac:dyDescent="0.2">
      <c r="A33">
        <v>31</v>
      </c>
      <c r="B33">
        <f t="shared" si="0"/>
        <v>2.9</v>
      </c>
    </row>
    <row r="34" spans="1:2" x14ac:dyDescent="0.2">
      <c r="A34">
        <v>32</v>
      </c>
      <c r="B34">
        <f t="shared" si="0"/>
        <v>2.9</v>
      </c>
    </row>
    <row r="35" spans="1:2" x14ac:dyDescent="0.2">
      <c r="A35">
        <v>33</v>
      </c>
      <c r="B35">
        <f t="shared" si="0"/>
        <v>3</v>
      </c>
    </row>
    <row r="36" spans="1:2" x14ac:dyDescent="0.2">
      <c r="A36">
        <v>34</v>
      </c>
      <c r="B36">
        <f t="shared" si="0"/>
        <v>3</v>
      </c>
    </row>
    <row r="37" spans="1:2" x14ac:dyDescent="0.2">
      <c r="A37">
        <v>35</v>
      </c>
      <c r="B37">
        <f t="shared" si="0"/>
        <v>3.1</v>
      </c>
    </row>
    <row r="38" spans="1:2" x14ac:dyDescent="0.2">
      <c r="A38">
        <v>36</v>
      </c>
      <c r="B38">
        <f t="shared" si="0"/>
        <v>3.2</v>
      </c>
    </row>
    <row r="39" spans="1:2" x14ac:dyDescent="0.2">
      <c r="A39">
        <v>37</v>
      </c>
      <c r="B39">
        <f t="shared" si="0"/>
        <v>3.2</v>
      </c>
    </row>
    <row r="40" spans="1:2" x14ac:dyDescent="0.2">
      <c r="A40">
        <v>38</v>
      </c>
      <c r="B40">
        <f t="shared" si="0"/>
        <v>3.3</v>
      </c>
    </row>
    <row r="41" spans="1:2" x14ac:dyDescent="0.2">
      <c r="A41">
        <v>39</v>
      </c>
      <c r="B41">
        <f t="shared" si="0"/>
        <v>3.3</v>
      </c>
    </row>
    <row r="42" spans="1:2" x14ac:dyDescent="0.2">
      <c r="A42">
        <v>40</v>
      </c>
      <c r="B42">
        <f t="shared" si="0"/>
        <v>3.4</v>
      </c>
    </row>
    <row r="43" spans="1:2" x14ac:dyDescent="0.2">
      <c r="A43">
        <v>41</v>
      </c>
      <c r="B43">
        <f t="shared" si="0"/>
        <v>3.5</v>
      </c>
    </row>
    <row r="44" spans="1:2" x14ac:dyDescent="0.2">
      <c r="A44">
        <v>42</v>
      </c>
      <c r="B44">
        <f t="shared" si="0"/>
        <v>3.5</v>
      </c>
    </row>
    <row r="45" spans="1:2" x14ac:dyDescent="0.2">
      <c r="A45">
        <v>43</v>
      </c>
      <c r="B45">
        <f t="shared" si="0"/>
        <v>3.6</v>
      </c>
    </row>
    <row r="46" spans="1:2" x14ac:dyDescent="0.2">
      <c r="A46">
        <v>44</v>
      </c>
      <c r="B46">
        <f t="shared" si="0"/>
        <v>3.6</v>
      </c>
    </row>
    <row r="47" spans="1:2" x14ac:dyDescent="0.2">
      <c r="A47">
        <v>45</v>
      </c>
      <c r="B47">
        <f t="shared" si="0"/>
        <v>3.7</v>
      </c>
    </row>
    <row r="48" spans="1:2" x14ac:dyDescent="0.2">
      <c r="A48">
        <v>46</v>
      </c>
      <c r="B48">
        <f t="shared" si="0"/>
        <v>3.8</v>
      </c>
    </row>
    <row r="49" spans="1:2" x14ac:dyDescent="0.2">
      <c r="A49">
        <v>47</v>
      </c>
      <c r="B49">
        <f t="shared" si="0"/>
        <v>3.8</v>
      </c>
    </row>
    <row r="50" spans="1:2" x14ac:dyDescent="0.2">
      <c r="A50">
        <v>48</v>
      </c>
      <c r="B50">
        <f t="shared" si="0"/>
        <v>3.9</v>
      </c>
    </row>
    <row r="51" spans="1:2" x14ac:dyDescent="0.2">
      <c r="A51">
        <v>49</v>
      </c>
      <c r="B51">
        <f t="shared" si="0"/>
        <v>3.9</v>
      </c>
    </row>
    <row r="52" spans="1:2" x14ac:dyDescent="0.2">
      <c r="A52">
        <v>50</v>
      </c>
      <c r="B52">
        <f t="shared" si="0"/>
        <v>4</v>
      </c>
    </row>
    <row r="53" spans="1:2" x14ac:dyDescent="0.2">
      <c r="A53">
        <v>51</v>
      </c>
      <c r="B53">
        <f t="shared" si="0"/>
        <v>4.0999999999999996</v>
      </c>
    </row>
    <row r="54" spans="1:2" x14ac:dyDescent="0.2">
      <c r="A54">
        <v>52</v>
      </c>
      <c r="B54">
        <f t="shared" si="0"/>
        <v>4.0999999999999996</v>
      </c>
    </row>
    <row r="55" spans="1:2" x14ac:dyDescent="0.2">
      <c r="A55">
        <v>53</v>
      </c>
      <c r="B55">
        <f t="shared" si="0"/>
        <v>4.2</v>
      </c>
    </row>
    <row r="56" spans="1:2" x14ac:dyDescent="0.2">
      <c r="A56">
        <v>54</v>
      </c>
      <c r="B56">
        <f t="shared" si="0"/>
        <v>4.2</v>
      </c>
    </row>
    <row r="57" spans="1:2" x14ac:dyDescent="0.2">
      <c r="A57">
        <v>55</v>
      </c>
      <c r="B57">
        <f t="shared" si="0"/>
        <v>4.3</v>
      </c>
    </row>
    <row r="58" spans="1:2" x14ac:dyDescent="0.2">
      <c r="A58">
        <v>56</v>
      </c>
      <c r="B58">
        <f t="shared" si="0"/>
        <v>4.4000000000000004</v>
      </c>
    </row>
    <row r="59" spans="1:2" x14ac:dyDescent="0.2">
      <c r="A59">
        <v>57</v>
      </c>
      <c r="B59">
        <f t="shared" si="0"/>
        <v>4.4000000000000004</v>
      </c>
    </row>
    <row r="60" spans="1:2" x14ac:dyDescent="0.2">
      <c r="A60">
        <v>58</v>
      </c>
      <c r="B60">
        <f t="shared" si="0"/>
        <v>4.5</v>
      </c>
    </row>
    <row r="61" spans="1:2" x14ac:dyDescent="0.2">
      <c r="A61">
        <v>59</v>
      </c>
      <c r="B61">
        <f t="shared" si="0"/>
        <v>4.5</v>
      </c>
    </row>
    <row r="62" spans="1:2" x14ac:dyDescent="0.2">
      <c r="A62">
        <v>60</v>
      </c>
      <c r="B62">
        <f t="shared" si="0"/>
        <v>4.5999999999999996</v>
      </c>
    </row>
    <row r="63" spans="1:2" x14ac:dyDescent="0.2">
      <c r="A63">
        <v>61</v>
      </c>
      <c r="B63">
        <f t="shared" si="0"/>
        <v>4.7</v>
      </c>
    </row>
    <row r="64" spans="1:2" x14ac:dyDescent="0.2">
      <c r="A64">
        <v>62</v>
      </c>
      <c r="B64">
        <f t="shared" si="0"/>
        <v>4.7</v>
      </c>
    </row>
    <row r="65" spans="1:2" x14ac:dyDescent="0.2">
      <c r="A65">
        <v>63</v>
      </c>
      <c r="B65">
        <f t="shared" si="0"/>
        <v>4.8</v>
      </c>
    </row>
    <row r="66" spans="1:2" x14ac:dyDescent="0.2">
      <c r="A66">
        <v>64</v>
      </c>
      <c r="B66">
        <f t="shared" ref="B66:B102" si="1">ROUND(TRUNC(IF(A66&lt;50,3*A66/50+1,3*(A66-50)/50+4),2),1)</f>
        <v>4.8</v>
      </c>
    </row>
    <row r="67" spans="1:2" x14ac:dyDescent="0.2">
      <c r="A67">
        <v>65</v>
      </c>
      <c r="B67">
        <f t="shared" si="1"/>
        <v>4.9000000000000004</v>
      </c>
    </row>
    <row r="68" spans="1:2" x14ac:dyDescent="0.2">
      <c r="A68">
        <v>66</v>
      </c>
      <c r="B68">
        <f t="shared" si="1"/>
        <v>5</v>
      </c>
    </row>
    <row r="69" spans="1:2" x14ac:dyDescent="0.2">
      <c r="A69">
        <v>67</v>
      </c>
      <c r="B69">
        <f t="shared" si="1"/>
        <v>5</v>
      </c>
    </row>
    <row r="70" spans="1:2" x14ac:dyDescent="0.2">
      <c r="A70">
        <v>68</v>
      </c>
      <c r="B70">
        <f t="shared" si="1"/>
        <v>5.0999999999999996</v>
      </c>
    </row>
    <row r="71" spans="1:2" x14ac:dyDescent="0.2">
      <c r="A71">
        <v>69</v>
      </c>
      <c r="B71">
        <f t="shared" si="1"/>
        <v>5.0999999999999996</v>
      </c>
    </row>
    <row r="72" spans="1:2" x14ac:dyDescent="0.2">
      <c r="A72">
        <v>70</v>
      </c>
      <c r="B72">
        <f t="shared" si="1"/>
        <v>5.2</v>
      </c>
    </row>
    <row r="73" spans="1:2" x14ac:dyDescent="0.2">
      <c r="A73">
        <v>71</v>
      </c>
      <c r="B73">
        <f t="shared" si="1"/>
        <v>5.3</v>
      </c>
    </row>
    <row r="74" spans="1:2" x14ac:dyDescent="0.2">
      <c r="A74">
        <v>72</v>
      </c>
      <c r="B74">
        <f t="shared" si="1"/>
        <v>5.3</v>
      </c>
    </row>
    <row r="75" spans="1:2" x14ac:dyDescent="0.2">
      <c r="A75">
        <v>73</v>
      </c>
      <c r="B75">
        <f t="shared" si="1"/>
        <v>5.4</v>
      </c>
    </row>
    <row r="76" spans="1:2" x14ac:dyDescent="0.2">
      <c r="A76">
        <v>74</v>
      </c>
      <c r="B76">
        <f t="shared" si="1"/>
        <v>5.4</v>
      </c>
    </row>
    <row r="77" spans="1:2" x14ac:dyDescent="0.2">
      <c r="A77">
        <v>75</v>
      </c>
      <c r="B77">
        <f t="shared" si="1"/>
        <v>5.5</v>
      </c>
    </row>
    <row r="78" spans="1:2" x14ac:dyDescent="0.2">
      <c r="A78">
        <v>76</v>
      </c>
      <c r="B78">
        <f t="shared" si="1"/>
        <v>5.6</v>
      </c>
    </row>
    <row r="79" spans="1:2" x14ac:dyDescent="0.2">
      <c r="A79">
        <v>77</v>
      </c>
      <c r="B79">
        <f t="shared" si="1"/>
        <v>5.6</v>
      </c>
    </row>
    <row r="80" spans="1:2" x14ac:dyDescent="0.2">
      <c r="A80">
        <v>78</v>
      </c>
      <c r="B80">
        <f t="shared" si="1"/>
        <v>5.7</v>
      </c>
    </row>
    <row r="81" spans="1:2" x14ac:dyDescent="0.2">
      <c r="A81">
        <v>79</v>
      </c>
      <c r="B81">
        <f t="shared" si="1"/>
        <v>5.7</v>
      </c>
    </row>
    <row r="82" spans="1:2" x14ac:dyDescent="0.2">
      <c r="A82">
        <v>80</v>
      </c>
      <c r="B82">
        <f t="shared" si="1"/>
        <v>5.8</v>
      </c>
    </row>
    <row r="83" spans="1:2" x14ac:dyDescent="0.2">
      <c r="A83">
        <v>81</v>
      </c>
      <c r="B83">
        <f t="shared" si="1"/>
        <v>5.9</v>
      </c>
    </row>
    <row r="84" spans="1:2" x14ac:dyDescent="0.2">
      <c r="A84">
        <v>82</v>
      </c>
      <c r="B84">
        <f t="shared" si="1"/>
        <v>5.9</v>
      </c>
    </row>
    <row r="85" spans="1:2" x14ac:dyDescent="0.2">
      <c r="A85">
        <v>83</v>
      </c>
      <c r="B85">
        <f t="shared" si="1"/>
        <v>6</v>
      </c>
    </row>
    <row r="86" spans="1:2" x14ac:dyDescent="0.2">
      <c r="A86">
        <v>84</v>
      </c>
      <c r="B86">
        <f t="shared" si="1"/>
        <v>6</v>
      </c>
    </row>
    <row r="87" spans="1:2" x14ac:dyDescent="0.2">
      <c r="A87">
        <v>85</v>
      </c>
      <c r="B87">
        <f t="shared" si="1"/>
        <v>6.1</v>
      </c>
    </row>
    <row r="88" spans="1:2" x14ac:dyDescent="0.2">
      <c r="A88">
        <v>86</v>
      </c>
      <c r="B88">
        <f t="shared" si="1"/>
        <v>6.2</v>
      </c>
    </row>
    <row r="89" spans="1:2" x14ac:dyDescent="0.2">
      <c r="A89">
        <v>87</v>
      </c>
      <c r="B89">
        <f t="shared" si="1"/>
        <v>6.2</v>
      </c>
    </row>
    <row r="90" spans="1:2" x14ac:dyDescent="0.2">
      <c r="A90">
        <v>88</v>
      </c>
      <c r="B90">
        <f t="shared" si="1"/>
        <v>6.3</v>
      </c>
    </row>
    <row r="91" spans="1:2" x14ac:dyDescent="0.2">
      <c r="A91">
        <v>89</v>
      </c>
      <c r="B91">
        <f t="shared" si="1"/>
        <v>6.3</v>
      </c>
    </row>
    <row r="92" spans="1:2" x14ac:dyDescent="0.2">
      <c r="A92">
        <v>90</v>
      </c>
      <c r="B92">
        <f t="shared" si="1"/>
        <v>6.4</v>
      </c>
    </row>
    <row r="93" spans="1:2" x14ac:dyDescent="0.2">
      <c r="A93">
        <v>91</v>
      </c>
      <c r="B93">
        <f t="shared" si="1"/>
        <v>6.5</v>
      </c>
    </row>
    <row r="94" spans="1:2" x14ac:dyDescent="0.2">
      <c r="A94">
        <v>92</v>
      </c>
      <c r="B94">
        <f t="shared" si="1"/>
        <v>6.5</v>
      </c>
    </row>
    <row r="95" spans="1:2" x14ac:dyDescent="0.2">
      <c r="A95">
        <v>93</v>
      </c>
      <c r="B95">
        <f t="shared" si="1"/>
        <v>6.6</v>
      </c>
    </row>
    <row r="96" spans="1:2" x14ac:dyDescent="0.2">
      <c r="A96">
        <v>94</v>
      </c>
      <c r="B96">
        <f t="shared" si="1"/>
        <v>6.6</v>
      </c>
    </row>
    <row r="97" spans="1:2" x14ac:dyDescent="0.2">
      <c r="A97">
        <v>95</v>
      </c>
      <c r="B97">
        <f t="shared" si="1"/>
        <v>6.7</v>
      </c>
    </row>
    <row r="98" spans="1:2" x14ac:dyDescent="0.2">
      <c r="A98">
        <v>96</v>
      </c>
      <c r="B98">
        <f t="shared" si="1"/>
        <v>6.8</v>
      </c>
    </row>
    <row r="99" spans="1:2" x14ac:dyDescent="0.2">
      <c r="A99">
        <v>97</v>
      </c>
      <c r="B99">
        <f t="shared" si="1"/>
        <v>6.8</v>
      </c>
    </row>
    <row r="100" spans="1:2" x14ac:dyDescent="0.2">
      <c r="A100">
        <v>98</v>
      </c>
      <c r="B100">
        <f t="shared" si="1"/>
        <v>6.9</v>
      </c>
    </row>
    <row r="101" spans="1:2" x14ac:dyDescent="0.2">
      <c r="A101">
        <v>99</v>
      </c>
      <c r="B101">
        <f t="shared" si="1"/>
        <v>6.9</v>
      </c>
    </row>
    <row r="102" spans="1:2" x14ac:dyDescent="0.2">
      <c r="A102">
        <v>100</v>
      </c>
      <c r="B102">
        <f t="shared" si="1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A3F2FB-3FFD-4598-B34D-9E03B20F2F6D}">
  <ds:schemaRefs>
    <ds:schemaRef ds:uri="http://schemas.microsoft.com/office/2006/metadata/properties"/>
    <ds:schemaRef ds:uri="http://schemas.microsoft.com/office/infopath/2007/PartnerControls"/>
    <ds:schemaRef ds:uri="e18e1d99-ad59-48f1-b4b7-e09c670c4281"/>
  </ds:schemaRefs>
</ds:datastoreItem>
</file>

<file path=customXml/itemProps2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Eduardo Novas</cp:lastModifiedBy>
  <cp:revision/>
  <dcterms:created xsi:type="dcterms:W3CDTF">2020-05-08T18:29:46Z</dcterms:created>
  <dcterms:modified xsi:type="dcterms:W3CDTF">2023-11-13T19:07:13Z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